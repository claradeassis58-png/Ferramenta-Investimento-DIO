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Área de Trabalho\planilhas dio\"/>
    </mc:Choice>
  </mc:AlternateContent>
  <bookViews>
    <workbookView xWindow="0" yWindow="0" windowWidth="15345" windowHeight="4575"/>
  </bookViews>
  <sheets>
    <sheet name="ferramenta_Pink.Invest" sheetId="1" r:id="rId1"/>
    <sheet name="Planilha2" sheetId="2" r:id="rId2"/>
  </sheets>
  <definedNames>
    <definedName name="aportes">ferramenta_Pink.Invest!$D$17</definedName>
    <definedName name="div_mens">ferramenta_Pink.Invest!$D$21</definedName>
    <definedName name="patrim_ac">ferramenta_Pink.Invest!$D$20</definedName>
    <definedName name="Rendimento_carteira">ferramenta_Pink.Invest!$D$12</definedName>
    <definedName name="salario">ferramenta_Pink.Invest!$D$11</definedName>
    <definedName name="sugestao.Invest">ferramenta_Pink.Invest!$D$13</definedName>
    <definedName name="taxa">ferramenta_Pink.Invest!$D$19</definedName>
    <definedName name="tempo">ferramenta_Pink.Invest!$D$18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6" i="1" l="1"/>
  <c r="D36" i="1" s="1"/>
  <c r="C37" i="1"/>
  <c r="D37" i="1" s="1"/>
  <c r="C38" i="1"/>
  <c r="D38" i="1" s="1"/>
  <c r="C39" i="1"/>
  <c r="D39" i="1" s="1"/>
  <c r="C40" i="1"/>
  <c r="D40" i="1" s="1"/>
  <c r="C35" i="1"/>
  <c r="D35" i="1" s="1"/>
  <c r="C13" i="2"/>
  <c r="C14" i="2"/>
  <c r="C15" i="2"/>
  <c r="C16" i="2"/>
  <c r="C17" i="2"/>
  <c r="C18" i="2"/>
  <c r="C19" i="2"/>
  <c r="C20" i="2"/>
  <c r="C21" i="2"/>
  <c r="C22" i="2"/>
  <c r="C23" i="2"/>
  <c r="C24" i="2"/>
  <c r="C8" i="2"/>
  <c r="C9" i="2"/>
  <c r="C10" i="2"/>
  <c r="C11" i="2"/>
  <c r="C12" i="2"/>
  <c r="C7" i="2"/>
  <c r="D20" i="1"/>
  <c r="D21" i="1" s="1"/>
  <c r="D13" i="1"/>
  <c r="C25" i="1"/>
  <c r="D25" i="1" s="1"/>
  <c r="C26" i="1"/>
  <c r="D26" i="1" s="1"/>
  <c r="C27" i="1"/>
  <c r="D27" i="1" s="1"/>
  <c r="C28" i="1"/>
  <c r="D28" i="1" s="1"/>
  <c r="C24" i="1"/>
  <c r="D24" i="1" s="1"/>
  <c r="D41" i="1" l="1"/>
</calcChain>
</file>

<file path=xl/sharedStrings.xml><?xml version="1.0" encoding="utf-8"?>
<sst xmlns="http://schemas.openxmlformats.org/spreadsheetml/2006/main" count="69" uniqueCount="34">
  <si>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</si>
  <si>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</si>
  <si>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</si>
  <si>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</si>
  <si>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</si>
  <si>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</si>
  <si>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</si>
  <si>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</si>
  <si>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</si>
  <si>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</si>
  <si>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</si>
  <si>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</si>
  <si>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Dividendos</t>
  </si>
  <si>
    <t>Salário</t>
  </si>
  <si>
    <t>Rendimento carteira</t>
  </si>
  <si>
    <t>CONFIGURAÇÕES</t>
  </si>
  <si>
    <t>Perfil</t>
  </si>
  <si>
    <t>Conservador</t>
  </si>
  <si>
    <t>Valor a ser investido ao mês</t>
  </si>
  <si>
    <t>Tipos de FII</t>
  </si>
  <si>
    <t>Papel</t>
  </si>
  <si>
    <t>Tijolo</t>
  </si>
  <si>
    <t>Híbridos</t>
  </si>
  <si>
    <t>FOFs</t>
  </si>
  <si>
    <t>Desenvolvimento</t>
  </si>
  <si>
    <t>Hotelarias</t>
  </si>
  <si>
    <t>Percentual sugerido</t>
  </si>
  <si>
    <t>Valores</t>
  </si>
  <si>
    <t>perfil</t>
  </si>
  <si>
    <t>%</t>
  </si>
  <si>
    <t>chave</t>
  </si>
  <si>
    <t>moderado</t>
  </si>
  <si>
    <t>Agressivo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</si>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</sst>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R$&quot;\ #,##0.00;[Red]\-&quot;R$&quot;\ #,##0.00"/>
    <numFmt numFmtId="167" formatCode="&quot;R$&quot;\ #,##0.00"/>
  </numFmts>
  <fonts count="1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rgb="FFD90936"/>
      <name val="Calibri"/>
      <family val="2"/>
      <scheme val="minor"/>
    </font>
    <font>
      <b/>
      <sz val="14"/>
      <color rgb="FFD9093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8"/>
      <color theme="9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9738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rgb="FFD90936"/>
      </left>
      <right style="thin">
        <color rgb="FFFDCBD6"/>
      </right>
      <top style="thin">
        <color rgb="FFFDCBD6"/>
      </top>
      <bottom style="thin">
        <color rgb="FFFDCBD6"/>
      </bottom>
      <diagonal/>
    </border>
    <border>
      <left style="thin">
        <color rgb="FFFDCBD6"/>
      </left>
      <right style="medium">
        <color rgb="FFD90936"/>
      </right>
      <top style="thin">
        <color rgb="FFFDCBD6"/>
      </top>
      <bottom style="thin">
        <color rgb="FFFDCBD6"/>
      </bottom>
      <diagonal/>
    </border>
    <border>
      <left style="medium">
        <color rgb="FFD90936"/>
      </left>
      <right style="thin">
        <color rgb="FFFDCBD6"/>
      </right>
      <top style="thin">
        <color rgb="FFFDCBD6"/>
      </top>
      <bottom style="medium">
        <color rgb="FFD90936"/>
      </bottom>
      <diagonal/>
    </border>
    <border>
      <left style="thin">
        <color rgb="FFFDCBD6"/>
      </left>
      <right style="medium">
        <color rgb="FFD90936"/>
      </right>
      <top style="thin">
        <color rgb="FFFDCBD6"/>
      </top>
      <bottom style="medium">
        <color rgb="FFD90936"/>
      </bottom>
      <diagonal/>
    </border>
    <border>
      <left style="medium">
        <color rgb="FFD90936"/>
      </left>
      <right style="thin">
        <color rgb="FFFDCBD6"/>
      </right>
      <top/>
      <bottom style="thin">
        <color rgb="FFFDCBD6"/>
      </bottom>
      <diagonal/>
    </border>
    <border>
      <left style="thin">
        <color rgb="FFFDCBD6"/>
      </left>
      <right style="medium">
        <color rgb="FFD90936"/>
      </right>
      <top/>
      <bottom style="thin">
        <color rgb="FFFDCBD6"/>
      </bottom>
      <diagonal/>
    </border>
    <border>
      <left style="medium">
        <color rgb="FFD90936"/>
      </left>
      <right style="thin">
        <color rgb="FFFDCBD6"/>
      </right>
      <top style="medium">
        <color rgb="FFD90936"/>
      </top>
      <bottom style="medium">
        <color rgb="FFD90936"/>
      </bottom>
      <diagonal/>
    </border>
    <border>
      <left/>
      <right style="medium">
        <color rgb="FFD90936"/>
      </right>
      <top style="medium">
        <color rgb="FFD90936"/>
      </top>
      <bottom style="medium">
        <color rgb="FFD90936"/>
      </bottom>
      <diagonal/>
    </border>
    <border>
      <left style="thin">
        <color rgb="FFFDCBD6"/>
      </left>
      <right style="thin">
        <color rgb="FFFDCBD6"/>
      </right>
      <top style="thin">
        <color rgb="FFFDCBD6"/>
      </top>
      <bottom style="thin">
        <color rgb="FFFDCBD6"/>
      </bottom>
      <diagonal/>
    </border>
    <border>
      <left style="thin">
        <color rgb="FFFDCBD6"/>
      </left>
      <right style="thin">
        <color rgb="FFFDCBD6"/>
      </right>
      <top style="thin">
        <color rgb="FFFDCBD6"/>
      </top>
      <bottom style="medium">
        <color rgb="FFD90936"/>
      </bottom>
      <diagonal/>
    </border>
    <border>
      <left style="thin">
        <color rgb="FFFDCBD6"/>
      </left>
      <right style="thin">
        <color rgb="FFFDCBD6"/>
      </right>
      <top/>
      <bottom style="thin">
        <color rgb="FFFDCBD6"/>
      </bottom>
      <diagonal/>
    </border>
    <border>
      <left style="thin">
        <color rgb="FFFDCBD6"/>
      </left>
      <right/>
      <top style="medium">
        <color rgb="FFD90936"/>
      </top>
      <bottom style="medium">
        <color rgb="FFD90936"/>
      </bottom>
      <diagonal/>
    </border>
    <border>
      <left style="medium">
        <color rgb="FF009900"/>
      </left>
      <right style="medium">
        <color theme="9" tint="0.59996337778862885"/>
      </right>
      <top style="medium">
        <color theme="9" tint="0.59996337778862885"/>
      </top>
      <bottom style="medium">
        <color theme="9" tint="0.59996337778862885"/>
      </bottom>
      <diagonal/>
    </border>
    <border>
      <left style="medium">
        <color theme="9" tint="0.59996337778862885"/>
      </left>
      <right style="medium">
        <color theme="9" tint="0.59996337778862885"/>
      </right>
      <top style="medium">
        <color theme="9" tint="0.59996337778862885"/>
      </top>
      <bottom style="medium">
        <color theme="9" tint="0.59996337778862885"/>
      </bottom>
      <diagonal/>
    </border>
    <border>
      <left style="medium">
        <color theme="9" tint="0.59996337778862885"/>
      </left>
      <right style="medium">
        <color rgb="FF009900"/>
      </right>
      <top style="medium">
        <color theme="9" tint="0.59996337778862885"/>
      </top>
      <bottom style="medium">
        <color theme="9" tint="0.59996337778862885"/>
      </bottom>
      <diagonal/>
    </border>
    <border>
      <left style="medium">
        <color rgb="FF009900"/>
      </left>
      <right style="medium">
        <color theme="9" tint="0.59996337778862885"/>
      </right>
      <top style="medium">
        <color theme="9" tint="0.59996337778862885"/>
      </top>
      <bottom style="medium">
        <color rgb="FF009900"/>
      </bottom>
      <diagonal/>
    </border>
    <border>
      <left style="medium">
        <color theme="9" tint="0.59996337778862885"/>
      </left>
      <right style="medium">
        <color theme="9" tint="0.59996337778862885"/>
      </right>
      <top style="medium">
        <color theme="9" tint="0.59996337778862885"/>
      </top>
      <bottom style="medium">
        <color rgb="FF009900"/>
      </bottom>
      <diagonal/>
    </border>
    <border>
      <left style="medium">
        <color theme="9" tint="0.59996337778862885"/>
      </left>
      <right style="medium">
        <color rgb="FF009900"/>
      </right>
      <top style="medium">
        <color theme="9" tint="0.59996337778862885"/>
      </top>
      <bottom style="medium">
        <color rgb="FF009900"/>
      </bottom>
      <diagonal/>
    </border>
    <border>
      <left style="medium">
        <color rgb="FF009900"/>
      </left>
      <right style="medium">
        <color theme="9" tint="0.59996337778862885"/>
      </right>
      <top/>
      <bottom style="medium">
        <color theme="9" tint="0.59996337778862885"/>
      </bottom>
      <diagonal/>
    </border>
    <border>
      <left style="medium">
        <color theme="9" tint="0.59996337778862885"/>
      </left>
      <right style="medium">
        <color theme="9" tint="0.59996337778862885"/>
      </right>
      <top/>
      <bottom style="medium">
        <color theme="9" tint="0.59996337778862885"/>
      </bottom>
      <diagonal/>
    </border>
    <border>
      <left style="medium">
        <color theme="9" tint="0.59996337778862885"/>
      </left>
      <right style="medium">
        <color rgb="FF009900"/>
      </right>
      <top/>
      <bottom style="medium">
        <color theme="9" tint="0.59996337778862885"/>
      </bottom>
      <diagonal/>
    </border>
    <border>
      <left style="medium">
        <color rgb="FF009900"/>
      </left>
      <right/>
      <top style="medium">
        <color rgb="FF009900"/>
      </top>
      <bottom style="medium">
        <color rgb="FF009900"/>
      </bottom>
      <diagonal/>
    </border>
    <border>
      <left/>
      <right/>
      <top style="medium">
        <color rgb="FF009900"/>
      </top>
      <bottom style="medium">
        <color rgb="FF009900"/>
      </bottom>
      <diagonal/>
    </border>
    <border>
      <left/>
      <right style="medium">
        <color rgb="FF009900"/>
      </right>
      <top style="medium">
        <color rgb="FF009900"/>
      </top>
      <bottom style="medium">
        <color rgb="FF0099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6">
    <xf numFmtId="0" fontId="0" fillId="0" borderId="0" xfId="0"/>
    <xf numFmtId="0" fontId="4" fillId="0" borderId="0" xfId="0" applyFont="1"/>
    <xf numFmtId="0" fontId="3" fillId="5" borderId="0" xfId="0" applyFont="1" applyFill="1"/>
    <xf numFmtId="0" fontId="7" fillId="3" borderId="7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8" xfId="0" applyFont="1" applyFill="1" applyBorder="1" applyAlignment="1">
      <alignment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vertic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167" fontId="6" fillId="0" borderId="18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9" xfId="0" applyFont="1" applyFill="1" applyBorder="1" applyAlignment="1">
      <alignment horizontal="center"/>
    </xf>
    <xf numFmtId="8" fontId="9" fillId="4" borderId="2" xfId="0" applyNumberFormat="1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8" fontId="9" fillId="4" borderId="4" xfId="0" applyNumberFormat="1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8" fontId="6" fillId="7" borderId="11" xfId="0" applyNumberFormat="1" applyFont="1" applyFill="1" applyBorder="1" applyAlignment="1">
      <alignment horizontal="center"/>
    </xf>
    <xf numFmtId="8" fontId="6" fillId="7" borderId="6" xfId="0" applyNumberFormat="1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8" fontId="6" fillId="7" borderId="9" xfId="0" applyNumberFormat="1" applyFont="1" applyFill="1" applyBorder="1" applyAlignment="1">
      <alignment horizontal="center"/>
    </xf>
    <xf numFmtId="8" fontId="6" fillId="7" borderId="2" xfId="0" applyNumberFormat="1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8" fontId="6" fillId="7" borderId="10" xfId="0" applyNumberFormat="1" applyFont="1" applyFill="1" applyBorder="1" applyAlignment="1">
      <alignment horizontal="center"/>
    </xf>
    <xf numFmtId="8" fontId="6" fillId="7" borderId="4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10" fillId="2" borderId="0" xfId="1" applyFont="1" applyBorder="1" applyAlignment="1">
      <alignment horizontal="center"/>
    </xf>
    <xf numFmtId="0" fontId="9" fillId="7" borderId="0" xfId="0" applyFont="1" applyFill="1" applyBorder="1" applyAlignment="1">
      <alignment horizontal="center"/>
    </xf>
    <xf numFmtId="9" fontId="5" fillId="0" borderId="0" xfId="0" applyNumberFormat="1" applyFont="1" applyAlignment="1">
      <alignment horizontal="center"/>
    </xf>
    <xf numFmtId="0" fontId="9" fillId="8" borderId="0" xfId="0" applyFont="1" applyFill="1" applyAlignment="1">
      <alignment horizontal="center"/>
    </xf>
    <xf numFmtId="0" fontId="2" fillId="7" borderId="0" xfId="0" applyFont="1" applyFill="1"/>
    <xf numFmtId="167" fontId="2" fillId="7" borderId="0" xfId="0" applyNumberFormat="1" applyFont="1" applyFill="1"/>
    <xf numFmtId="9" fontId="0" fillId="0" borderId="0" xfId="0" applyNumberFormat="1" applyAlignment="1">
      <alignment horizontal="center"/>
    </xf>
    <xf numFmtId="167" fontId="5" fillId="6" borderId="0" xfId="0" applyNumberFormat="1" applyFont="1" applyFill="1"/>
    <xf numFmtId="0" fontId="11" fillId="8" borderId="22" xfId="0" applyFont="1" applyFill="1" applyBorder="1" applyAlignment="1">
      <alignment horizontal="center" vertical="center"/>
    </xf>
    <xf numFmtId="0" fontId="11" fillId="8" borderId="23" xfId="0" applyFont="1" applyFill="1" applyBorder="1" applyAlignment="1">
      <alignment horizontal="center" vertical="center"/>
    </xf>
    <xf numFmtId="0" fontId="11" fillId="8" borderId="24" xfId="0" applyFont="1" applyFill="1" applyBorder="1" applyAlignment="1">
      <alignment horizontal="center" vertical="center"/>
    </xf>
    <xf numFmtId="167" fontId="6" fillId="0" borderId="21" xfId="0" applyNumberFormat="1" applyFont="1" applyBorder="1" applyAlignment="1" applyProtection="1">
      <alignment horizontal="center"/>
      <protection locked="0"/>
    </xf>
    <xf numFmtId="9" fontId="6" fillId="0" borderId="15" xfId="0" applyNumberFormat="1" applyFont="1" applyBorder="1" applyAlignment="1" applyProtection="1">
      <alignment horizontal="center"/>
      <protection locked="0"/>
    </xf>
    <xf numFmtId="167" fontId="9" fillId="0" borderId="6" xfId="0" applyNumberFormat="1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10" fontId="9" fillId="0" borderId="2" xfId="0" applyNumberFormat="1" applyFont="1" applyBorder="1" applyAlignment="1" applyProtection="1">
      <alignment horizontal="center"/>
      <protection locked="0"/>
    </xf>
    <xf numFmtId="0" fontId="10" fillId="2" borderId="0" xfId="1" applyFont="1" applyAlignment="1" applyProtection="1">
      <alignment horizontal="center"/>
      <protection locked="0"/>
    </xf>
    <xf numFmtId="167" fontId="9" fillId="7" borderId="0" xfId="0" applyNumberFormat="1" applyFont="1" applyFill="1" applyAlignment="1" applyProtection="1">
      <alignment horizontal="center"/>
      <protection locked="0"/>
    </xf>
  </cellXfs>
  <cellStyles count="2">
    <cellStyle name="Bom" xfId="1" builtinId="26"/>
    <cellStyle name="Normal" xfId="0" builtinId="0"/>
  </cellStyles>
  <dxfs count="0"/>
  <tableStyles count="0" defaultTableStyle="TableStyleMedium2" defaultPivotStyle="PivotStyleLight16"/>
  <colors>
    <mruColors>
      <color rgb="FFC1FF89"/>
      <color rgb="FFFFCCFF"/>
      <color rgb="FF99FF33"/>
      <color rgb="FFD90936"/>
      <color rgb="FFFDCBD6"/>
      <color rgb="FF009900"/>
      <color rgb="FF008000"/>
      <color rgb="FFFF5050"/>
      <color rgb="FFF9738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6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6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6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ferramenta_Pink.Invest!$B$35:$B$40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ferramenta_Pink.Invest!$C$35:$C$40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4-48FD-8B9B-B08D908BA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1193889</xdr:colOff>
      <xdr:row>1</xdr:row>
      <xdr:rowOff>29385</xdr:rowOff>
    </xdr:from>
    <xdr:to>
      <xdr:col>4</xdr:col>
      <xdr:colOff>1344910</xdr:colOff>
      <xdr:row>7</xdr:row>
      <xdr:rowOff>184000</xdr:rowOff>
    </xdr:to>
    <xdr:grpSp>
      <xdr:nvGrpSpPr>
        <xdr:cNvPr id="38" name="Agrupar 37"/>
        <xdr:cNvGrpSpPr/>
      </xdr:nvGrpSpPr>
      <xdr:grpSpPr>
        <a:xfrm>
          <a:off x="1193889" y="219885"/>
          <a:ext cx="7711490" cy="1297615"/>
          <a:chOff x="593801" y="138887"/>
          <a:chExt cx="6613785" cy="1282109"/>
        </a:xfrm>
      </xdr:grpSpPr>
      <xdr:sp macro="" textlink="">
        <xdr:nvSpPr>
          <xdr:cNvPr id="2" name="Retângulo Arredondado 1"/>
          <xdr:cNvSpPr/>
        </xdr:nvSpPr>
        <xdr:spPr>
          <a:xfrm>
            <a:off x="593801" y="138887"/>
            <a:ext cx="6613785" cy="1282109"/>
          </a:xfrm>
          <a:prstGeom prst="roundRect">
            <a:avLst/>
          </a:prstGeom>
          <a:solidFill>
            <a:srgbClr val="D90936"/>
          </a:solidFill>
          <a:ln w="34925" cmpd="sng">
            <a:solidFill>
              <a:srgbClr val="F97389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6000" b="1">
                <a:ln>
                  <a:noFill/>
                </a:ln>
                <a:solidFill>
                  <a:schemeClr val="bg1"/>
                </a:solidFill>
                <a:effectLst>
                  <a:outerShdw blurRad="50800" dist="38100" dir="8100000" algn="tr" rotWithShape="0">
                    <a:prstClr val="black">
                      <a:alpha val="40000"/>
                    </a:prstClr>
                  </a:outerShdw>
                </a:effectLst>
              </a:rPr>
              <a:t>Pink </a:t>
            </a:r>
            <a:r>
              <a:rPr lang="pt-BR" sz="6000" b="1">
                <a:ln>
                  <a:noFill/>
                </a:ln>
                <a:solidFill>
                  <a:srgbClr val="F97389"/>
                </a:solidFill>
                <a:effectLst>
                  <a:outerShdw blurRad="50800" dist="38100" dir="8100000" algn="tr" rotWithShape="0">
                    <a:prstClr val="black">
                      <a:alpha val="40000"/>
                    </a:prstClr>
                  </a:outerShdw>
                </a:effectLst>
              </a:rPr>
              <a:t>Invest</a:t>
            </a:r>
          </a:p>
        </xdr:txBody>
      </xdr:sp>
      <xdr:cxnSp macro="">
        <xdr:nvCxnSpPr>
          <xdr:cNvPr id="19" name="Conector reto 18"/>
          <xdr:cNvCxnSpPr/>
        </xdr:nvCxnSpPr>
        <xdr:spPr>
          <a:xfrm flipV="1">
            <a:off x="4241062" y="612480"/>
            <a:ext cx="496887" cy="357519"/>
          </a:xfrm>
          <a:prstGeom prst="line">
            <a:avLst/>
          </a:prstGeom>
          <a:ln>
            <a:solidFill>
              <a:srgbClr val="FFCCFF"/>
            </a:solidFill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23" name="Conector reto 22"/>
          <xdr:cNvCxnSpPr/>
        </xdr:nvCxnSpPr>
        <xdr:spPr>
          <a:xfrm>
            <a:off x="4731145" y="612480"/>
            <a:ext cx="760110" cy="176379"/>
          </a:xfrm>
          <a:prstGeom prst="line">
            <a:avLst/>
          </a:prstGeom>
          <a:ln>
            <a:solidFill>
              <a:srgbClr val="FFCCFF"/>
            </a:solidFill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26" name="Conector de Seta Reta 25"/>
          <xdr:cNvCxnSpPr/>
        </xdr:nvCxnSpPr>
        <xdr:spPr>
          <a:xfrm flipV="1">
            <a:off x="5488874" y="340685"/>
            <a:ext cx="668337" cy="450555"/>
          </a:xfrm>
          <a:prstGeom prst="straightConnector1">
            <a:avLst/>
          </a:prstGeom>
          <a:ln>
            <a:solidFill>
              <a:srgbClr val="FFCCFF"/>
            </a:solidFill>
            <a:tailEnd type="triangle"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1220932</xdr:colOff>
      <xdr:row>42</xdr:row>
      <xdr:rowOff>39832</xdr:rowOff>
    </xdr:from>
    <xdr:to>
      <xdr:col>3</xdr:col>
      <xdr:colOff>0</xdr:colOff>
      <xdr:row>55</xdr:row>
      <xdr:rowOff>112568</xdr:rowOff>
    </xdr:to>
    <xdr:graphicFrame macro="">
      <xdr:nvGraphicFramePr>
        <xdr:cNvPr id="39" name="Gráfico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N41"/>
  <sheetViews>
    <sheetView showGridLines="0" tabSelected="1" topLeftCell="A31" zoomScale="80" zoomScaleNormal="80" workbookViewId="0">
      <selection activeCell="C31" sqref="C31:D31"/>
    </sheetView>
  </sheetViews>
  <sheetFormatPr defaultColWidth="0" defaultRowHeight="15" x14ac:dyDescent="0.25"/>
  <cols>
    <col min="1" max="1" width="19.140625" customWidth="1"/>
    <col min="2" max="2" width="38.85546875" customWidth="1"/>
    <col min="3" max="3" width="39" customWidth="1"/>
    <col min="4" max="4" width="16.42578125" bestFit="1" customWidth="1"/>
    <col min="5" max="5" width="24.28515625" bestFit="1" customWidth="1"/>
    <col min="6" max="6" width="12" bestFit="1" customWidth="1"/>
    <col min="7" max="10" width="9.140625" hidden="1"/>
    <col min="15" max="16384" width="9.140625" hidden="1"/>
  </cols>
  <sheetData>
    <row r="4" spans="2:14" x14ac:dyDescent="0.25">
      <c r="N4" s="1"/>
    </row>
    <row r="9" spans="2:14" ht="25.5" customHeight="1" thickBot="1" x14ac:dyDescent="0.3"/>
    <row r="10" spans="2:14" ht="39.75" customHeight="1" thickBot="1" x14ac:dyDescent="0.3">
      <c r="B10" s="46" t="s">
        <v>15</v>
      </c>
      <c r="C10" s="47"/>
      <c r="D10" s="48"/>
    </row>
    <row r="11" spans="2:14" ht="24" customHeight="1" thickBot="1" x14ac:dyDescent="0.35">
      <c r="B11" s="9" t="s">
        <v>13</v>
      </c>
      <c r="C11" s="10"/>
      <c r="D11" s="49">
        <v>1000</v>
      </c>
    </row>
    <row r="12" spans="2:14" ht="25.5" customHeight="1" thickBot="1" x14ac:dyDescent="0.35">
      <c r="B12" s="11" t="s">
        <v>14</v>
      </c>
      <c r="C12" s="12"/>
      <c r="D12" s="50">
        <v>0.01</v>
      </c>
    </row>
    <row r="13" spans="2:14" ht="26.25" customHeight="1" thickBot="1" x14ac:dyDescent="0.35">
      <c r="B13" s="13" t="s">
        <v>33</v>
      </c>
      <c r="C13" s="14"/>
      <c r="D13" s="15">
        <f>D11*30%</f>
        <v>300</v>
      </c>
    </row>
    <row r="14" spans="2:14" ht="11.25" customHeight="1" x14ac:dyDescent="0.25"/>
    <row r="15" spans="2:14" ht="8.25" customHeight="1" thickBot="1" x14ac:dyDescent="0.3"/>
    <row r="16" spans="2:14" ht="33" customHeight="1" thickBot="1" x14ac:dyDescent="0.3">
      <c r="B16" s="6" t="s">
        <v>5</v>
      </c>
      <c r="C16" s="7"/>
      <c r="D16" s="8"/>
    </row>
    <row r="17" spans="1:4" ht="24.75" customHeight="1" x14ac:dyDescent="0.3">
      <c r="B17" s="16" t="s">
        <v>0</v>
      </c>
      <c r="C17" s="17"/>
      <c r="D17" s="51">
        <v>300</v>
      </c>
    </row>
    <row r="18" spans="1:4" ht="21" customHeight="1" x14ac:dyDescent="0.3">
      <c r="B18" s="18" t="s">
        <v>1</v>
      </c>
      <c r="C18" s="19"/>
      <c r="D18" s="52">
        <v>6</v>
      </c>
    </row>
    <row r="19" spans="1:4" ht="21.75" customHeight="1" x14ac:dyDescent="0.3">
      <c r="B19" s="18" t="s">
        <v>2</v>
      </c>
      <c r="C19" s="19"/>
      <c r="D19" s="53">
        <v>1.0789999999999999E-2</v>
      </c>
    </row>
    <row r="20" spans="1:4" ht="21" customHeight="1" x14ac:dyDescent="0.3">
      <c r="B20" s="20" t="s">
        <v>3</v>
      </c>
      <c r="C20" s="21"/>
      <c r="D20" s="22">
        <f>FV(taxa,tempo*12,aportes*-1)</f>
        <v>32409.060297479977</v>
      </c>
    </row>
    <row r="21" spans="1:4" ht="24.75" customHeight="1" thickBot="1" x14ac:dyDescent="0.35">
      <c r="B21" s="23" t="s">
        <v>4</v>
      </c>
      <c r="C21" s="24"/>
      <c r="D21" s="25">
        <f>patrim_ac*Rendimento_carteira</f>
        <v>324.09060297479976</v>
      </c>
    </row>
    <row r="22" spans="1:4" ht="15.75" thickBot="1" x14ac:dyDescent="0.3"/>
    <row r="23" spans="1:4" ht="27" thickBot="1" x14ac:dyDescent="0.3">
      <c r="B23" s="3" t="s">
        <v>11</v>
      </c>
      <c r="C23" s="4"/>
      <c r="D23" s="5" t="s">
        <v>12</v>
      </c>
    </row>
    <row r="24" spans="1:4" ht="21" customHeight="1" x14ac:dyDescent="0.3">
      <c r="A24" s="2">
        <v>2</v>
      </c>
      <c r="B24" s="26" t="s">
        <v>6</v>
      </c>
      <c r="C24" s="27">
        <f>FV($D$19,$A24*12,$D$17*-1)</f>
        <v>8168.2881892935648</v>
      </c>
      <c r="D24" s="28">
        <f>C24*Rendimento_carteira</f>
        <v>81.682881892935654</v>
      </c>
    </row>
    <row r="25" spans="1:4" ht="19.5" customHeight="1" x14ac:dyDescent="0.3">
      <c r="A25" s="2">
        <v>5</v>
      </c>
      <c r="B25" s="29" t="s">
        <v>7</v>
      </c>
      <c r="C25" s="30">
        <f>FV($D$19,$A25*12,$D$17*-1)</f>
        <v>25133.074199546292</v>
      </c>
      <c r="D25" s="31">
        <f>C25*Rendimento_carteira</f>
        <v>251.33074199546292</v>
      </c>
    </row>
    <row r="26" spans="1:4" ht="19.5" customHeight="1" x14ac:dyDescent="0.3">
      <c r="A26" s="2">
        <v>10</v>
      </c>
      <c r="B26" s="29" t="s">
        <v>8</v>
      </c>
      <c r="C26" s="30">
        <f>FV($D$19,$A26*12,$D$17*-1)</f>
        <v>72985.263759051653</v>
      </c>
      <c r="D26" s="31">
        <f>C26*Rendimento_carteira</f>
        <v>729.85263759051657</v>
      </c>
    </row>
    <row r="27" spans="1:4" ht="19.5" customHeight="1" x14ac:dyDescent="0.3">
      <c r="A27" s="2">
        <v>20</v>
      </c>
      <c r="B27" s="29" t="s">
        <v>9</v>
      </c>
      <c r="C27" s="30">
        <f>FV($D$19,$A27*12,$D$17*-1)</f>
        <v>337559.52002912416</v>
      </c>
      <c r="D27" s="31">
        <f>C27*Rendimento_carteira</f>
        <v>3375.5952002912418</v>
      </c>
    </row>
    <row r="28" spans="1:4" ht="21.75" customHeight="1" thickBot="1" x14ac:dyDescent="0.35">
      <c r="A28" s="2">
        <v>30</v>
      </c>
      <c r="B28" s="32" t="s">
        <v>10</v>
      </c>
      <c r="C28" s="33">
        <f>FV($D$19,$A28*12,$D$17*-1)</f>
        <v>1296650.8965014142</v>
      </c>
      <c r="D28" s="34">
        <f>C28*Rendimento_carteira</f>
        <v>12966.508965014144</v>
      </c>
    </row>
    <row r="30" spans="1:4" ht="4.5" customHeight="1" x14ac:dyDescent="0.25"/>
    <row r="31" spans="1:4" s="35" customFormat="1" ht="18" customHeight="1" x14ac:dyDescent="0.25">
      <c r="B31" s="38" t="s">
        <v>16</v>
      </c>
      <c r="C31" s="54" t="s">
        <v>32</v>
      </c>
      <c r="D31" s="54"/>
    </row>
    <row r="32" spans="1:4" ht="18.75" x14ac:dyDescent="0.3">
      <c r="B32" s="39" t="s">
        <v>18</v>
      </c>
      <c r="C32" s="55">
        <v>600</v>
      </c>
      <c r="D32" s="55"/>
    </row>
    <row r="33" spans="2:4" ht="18.75" x14ac:dyDescent="0.3">
      <c r="B33" s="37"/>
      <c r="C33" s="37"/>
      <c r="D33" s="37"/>
    </row>
    <row r="34" spans="2:4" ht="18.75" x14ac:dyDescent="0.3">
      <c r="B34" s="41" t="s">
        <v>19</v>
      </c>
      <c r="C34" s="41" t="s">
        <v>26</v>
      </c>
      <c r="D34" s="41" t="s">
        <v>27</v>
      </c>
    </row>
    <row r="35" spans="2:4" ht="18.75" x14ac:dyDescent="0.3">
      <c r="B35" s="36" t="s">
        <v>20</v>
      </c>
      <c r="C35" s="40">
        <f>VLOOKUP($C$31&amp;"-"&amp;B35,Planilha2!$C:$F,4,)</f>
        <v>0.5</v>
      </c>
      <c r="D35" s="45">
        <f>C35*$C$32</f>
        <v>300</v>
      </c>
    </row>
    <row r="36" spans="2:4" ht="18.75" x14ac:dyDescent="0.3">
      <c r="B36" s="36" t="s">
        <v>21</v>
      </c>
      <c r="C36" s="40">
        <f>VLOOKUP($C$31&amp;"-"&amp;B36,Planilha2!$C:$F,4,)</f>
        <v>0.1</v>
      </c>
      <c r="D36" s="45">
        <f t="shared" ref="D36:D40" si="0">C36*$C$32</f>
        <v>60</v>
      </c>
    </row>
    <row r="37" spans="2:4" ht="18.75" x14ac:dyDescent="0.3">
      <c r="B37" s="36" t="s">
        <v>22</v>
      </c>
      <c r="C37" s="40">
        <f>VLOOKUP($C$31&amp;"-"&amp;B37,Planilha2!$C:$F,4,)</f>
        <v>0.05</v>
      </c>
      <c r="D37" s="45">
        <f t="shared" si="0"/>
        <v>30</v>
      </c>
    </row>
    <row r="38" spans="2:4" ht="18.75" x14ac:dyDescent="0.3">
      <c r="B38" s="36" t="s">
        <v>23</v>
      </c>
      <c r="C38" s="40">
        <f>VLOOKUP($C$31&amp;"-"&amp;B38,Planilha2!$C:$F,4,)</f>
        <v>0.05</v>
      </c>
      <c r="D38" s="45">
        <f t="shared" si="0"/>
        <v>30</v>
      </c>
    </row>
    <row r="39" spans="2:4" ht="18.75" x14ac:dyDescent="0.3">
      <c r="B39" s="36" t="s">
        <v>24</v>
      </c>
      <c r="C39" s="40">
        <f>VLOOKUP($C$31&amp;"-"&amp;B39,Planilha2!$C:$F,4,)</f>
        <v>0.2</v>
      </c>
      <c r="D39" s="45">
        <f t="shared" si="0"/>
        <v>120</v>
      </c>
    </row>
    <row r="40" spans="2:4" ht="18.75" x14ac:dyDescent="0.3">
      <c r="B40" s="36" t="s">
        <v>25</v>
      </c>
      <c r="C40" s="40">
        <f>VLOOKUP($C$31&amp;"-"&amp;B40,Planilha2!$C:$F,4,)</f>
        <v>0.1</v>
      </c>
      <c r="D40" s="45">
        <f t="shared" si="0"/>
        <v>60</v>
      </c>
    </row>
    <row r="41" spans="2:4" x14ac:dyDescent="0.25">
      <c r="B41" s="42"/>
      <c r="C41" s="42"/>
      <c r="D41" s="43">
        <f>SUM(D35:D40)</f>
        <v>600</v>
      </c>
    </row>
  </sheetData>
  <sheetProtection algorithmName="SHA-512" hashValue="iXhUsydOmjxTrjkotSzERkonxCls3BBnPyleGYCVYjUdSVUStq+0QURo1mxhUPkCazXYFUs2gnNrjrTiZS7qZA==" saltValue="+A92bvcpLcdJVi3lCyB73Q==" spinCount="100000" sheet="1" objects="1" scenarios="1" sort="0" autoFilter="0"/>
  <mergeCells count="13">
    <mergeCell ref="C32:D32"/>
    <mergeCell ref="B11:C11"/>
    <mergeCell ref="B12:C12"/>
    <mergeCell ref="B13:C13"/>
    <mergeCell ref="B10:D10"/>
    <mergeCell ref="C31:D31"/>
    <mergeCell ref="B16:C16"/>
    <mergeCell ref="B23:C23"/>
    <mergeCell ref="B17:C17"/>
    <mergeCell ref="B18:C18"/>
    <mergeCell ref="B19:C19"/>
    <mergeCell ref="B20:C20"/>
    <mergeCell ref="B21:C21"/>
  </mergeCells>
  <dataValidations count="1">
    <dataValidation type="list" allowBlank="1" showInputMessage="1" showErrorMessage="1" sqref="C31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F24"/>
  <sheetViews>
    <sheetView topLeftCell="A3" workbookViewId="0">
      <selection activeCell="F13" sqref="F13:F24"/>
    </sheetView>
  </sheetViews>
  <sheetFormatPr defaultRowHeight="15" x14ac:dyDescent="0.25"/>
  <cols>
    <col min="3" max="3" width="29.140625" bestFit="1" customWidth="1"/>
    <col min="4" max="4" width="12.140625" bestFit="1" customWidth="1"/>
    <col min="5" max="5" width="20.7109375" bestFit="1" customWidth="1"/>
  </cols>
  <sheetData>
    <row r="6" spans="3:6" ht="18.75" x14ac:dyDescent="0.3">
      <c r="C6" t="s">
        <v>30</v>
      </c>
      <c r="D6" t="s">
        <v>28</v>
      </c>
      <c r="E6" s="41" t="s">
        <v>19</v>
      </c>
      <c r="F6" t="s">
        <v>29</v>
      </c>
    </row>
    <row r="7" spans="3:6" ht="18.75" customHeight="1" x14ac:dyDescent="0.3">
      <c r="C7" t="str">
        <f>D7&amp;"-"&amp;E7</f>
        <v>Conservador-Papel</v>
      </c>
      <c r="D7" t="s">
        <v>17</v>
      </c>
      <c r="E7" s="36" t="s">
        <v>20</v>
      </c>
      <c r="F7" s="40">
        <v>0.3</v>
      </c>
    </row>
    <row r="8" spans="3:6" ht="18.75" x14ac:dyDescent="0.3">
      <c r="C8" t="str">
        <f t="shared" ref="C8:C24" si="0">D8&amp;"-"&amp;E8</f>
        <v>Conservador-Tijolo</v>
      </c>
      <c r="D8" t="s">
        <v>17</v>
      </c>
      <c r="E8" s="36" t="s">
        <v>21</v>
      </c>
      <c r="F8" s="40">
        <v>0.5</v>
      </c>
    </row>
    <row r="9" spans="3:6" ht="18.75" x14ac:dyDescent="0.3">
      <c r="C9" t="str">
        <f t="shared" si="0"/>
        <v>Conservador-Híbridos</v>
      </c>
      <c r="D9" t="s">
        <v>17</v>
      </c>
      <c r="E9" s="36" t="s">
        <v>22</v>
      </c>
      <c r="F9" s="40">
        <v>0.1</v>
      </c>
    </row>
    <row r="10" spans="3:6" ht="18.75" x14ac:dyDescent="0.3">
      <c r="C10" t="str">
        <f t="shared" si="0"/>
        <v>Conservador-FOFs</v>
      </c>
      <c r="D10" t="s">
        <v>17</v>
      </c>
      <c r="E10" s="36" t="s">
        <v>23</v>
      </c>
      <c r="F10" s="40">
        <v>0.1</v>
      </c>
    </row>
    <row r="11" spans="3:6" ht="18.75" x14ac:dyDescent="0.3">
      <c r="C11" t="str">
        <f t="shared" si="0"/>
        <v>Conservador-Desenvolvimento</v>
      </c>
      <c r="D11" t="s">
        <v>17</v>
      </c>
      <c r="E11" s="36" t="s">
        <v>24</v>
      </c>
      <c r="F11" s="40">
        <v>0</v>
      </c>
    </row>
    <row r="12" spans="3:6" ht="18.75" x14ac:dyDescent="0.3">
      <c r="C12" t="str">
        <f t="shared" si="0"/>
        <v>Conservador-Hotelarias</v>
      </c>
      <c r="D12" t="s">
        <v>17</v>
      </c>
      <c r="E12" s="36" t="s">
        <v>25</v>
      </c>
      <c r="F12" s="40">
        <v>0</v>
      </c>
    </row>
    <row r="13" spans="3:6" ht="18.75" x14ac:dyDescent="0.3">
      <c r="C13" t="str">
        <f t="shared" si="0"/>
        <v>moderado-Papel</v>
      </c>
      <c r="D13" t="s">
        <v>31</v>
      </c>
      <c r="E13" s="36" t="s">
        <v>20</v>
      </c>
      <c r="F13" s="44">
        <v>0.32</v>
      </c>
    </row>
    <row r="14" spans="3:6" ht="18.75" x14ac:dyDescent="0.3">
      <c r="C14" t="str">
        <f t="shared" si="0"/>
        <v>moderado-Tijolo</v>
      </c>
      <c r="D14" t="s">
        <v>31</v>
      </c>
      <c r="E14" s="36" t="s">
        <v>21</v>
      </c>
      <c r="F14" s="44">
        <v>0.4</v>
      </c>
    </row>
    <row r="15" spans="3:6" ht="18.75" x14ac:dyDescent="0.3">
      <c r="C15" t="str">
        <f t="shared" si="0"/>
        <v>moderado-Híbridos</v>
      </c>
      <c r="D15" t="s">
        <v>31</v>
      </c>
      <c r="E15" s="36" t="s">
        <v>22</v>
      </c>
      <c r="F15" s="44">
        <v>0.08</v>
      </c>
    </row>
    <row r="16" spans="3:6" ht="18.75" x14ac:dyDescent="0.3">
      <c r="C16" t="str">
        <f t="shared" si="0"/>
        <v>moderado-FOFs</v>
      </c>
      <c r="D16" t="s">
        <v>31</v>
      </c>
      <c r="E16" s="36" t="s">
        <v>23</v>
      </c>
      <c r="F16" s="44">
        <v>0.1</v>
      </c>
    </row>
    <row r="17" spans="3:6" ht="18.75" x14ac:dyDescent="0.3">
      <c r="C17" t="str">
        <f t="shared" si="0"/>
        <v>moderado-Desenvolvimento</v>
      </c>
      <c r="D17" t="s">
        <v>31</v>
      </c>
      <c r="E17" s="36" t="s">
        <v>24</v>
      </c>
      <c r="F17" s="44">
        <v>0.1</v>
      </c>
    </row>
    <row r="18" spans="3:6" ht="18.75" x14ac:dyDescent="0.3">
      <c r="C18" t="str">
        <f t="shared" si="0"/>
        <v>moderado-Hotelarias</v>
      </c>
      <c r="D18" t="s">
        <v>31</v>
      </c>
      <c r="E18" s="36" t="s">
        <v>25</v>
      </c>
      <c r="F18" s="44">
        <v>0.1</v>
      </c>
    </row>
    <row r="19" spans="3:6" ht="18.75" x14ac:dyDescent="0.3">
      <c r="C19" t="str">
        <f t="shared" si="0"/>
        <v>Agressivo-Papel</v>
      </c>
      <c r="D19" t="s">
        <v>32</v>
      </c>
      <c r="E19" s="36" t="s">
        <v>20</v>
      </c>
      <c r="F19" s="44">
        <v>0.5</v>
      </c>
    </row>
    <row r="20" spans="3:6" ht="18.75" x14ac:dyDescent="0.3">
      <c r="C20" t="str">
        <f t="shared" si="0"/>
        <v>Agressivo-Tijolo</v>
      </c>
      <c r="D20" t="s">
        <v>32</v>
      </c>
      <c r="E20" s="36" t="s">
        <v>21</v>
      </c>
      <c r="F20" s="44">
        <v>0.1</v>
      </c>
    </row>
    <row r="21" spans="3:6" ht="18.75" x14ac:dyDescent="0.3">
      <c r="C21" t="str">
        <f t="shared" si="0"/>
        <v>Agressivo-Híbridos</v>
      </c>
      <c r="D21" t="s">
        <v>32</v>
      </c>
      <c r="E21" s="36" t="s">
        <v>22</v>
      </c>
      <c r="F21" s="44">
        <v>0.05</v>
      </c>
    </row>
    <row r="22" spans="3:6" ht="18.75" x14ac:dyDescent="0.3">
      <c r="C22" t="str">
        <f t="shared" si="0"/>
        <v>Agressivo-FOFs</v>
      </c>
      <c r="D22" t="s">
        <v>32</v>
      </c>
      <c r="E22" s="36" t="s">
        <v>23</v>
      </c>
      <c r="F22" s="44">
        <v>0.05</v>
      </c>
    </row>
    <row r="23" spans="3:6" ht="18.75" x14ac:dyDescent="0.3">
      <c r="C23" t="str">
        <f t="shared" si="0"/>
        <v>Agressivo-Desenvolvimento</v>
      </c>
      <c r="D23" t="s">
        <v>32</v>
      </c>
      <c r="E23" s="36" t="s">
        <v>24</v>
      </c>
      <c r="F23" s="44">
        <v>0.2</v>
      </c>
    </row>
    <row r="24" spans="3:6" ht="18.75" x14ac:dyDescent="0.3">
      <c r="C24" t="str">
        <f t="shared" si="0"/>
        <v>Agressivo-Hotelarias</v>
      </c>
      <c r="D24" t="s">
        <v>32</v>
      </c>
      <c r="E24" s="36" t="s">
        <v>25</v>
      </c>
      <c r="F24" s="44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ferramenta_Pink.Invest</vt:lpstr>
      <vt:lpstr>Planilha2</vt:lpstr>
      <vt:lpstr>aportes</vt:lpstr>
      <vt:lpstr>div_mens</vt:lpstr>
      <vt:lpstr>patrim_ac</vt:lpstr>
      <vt:lpstr>Rendimento_carteira</vt:lpstr>
      <vt:lpstr>salario</vt:lpstr>
      <vt:lpstr>sugestao.Invest</vt:lpstr>
      <vt:lpstr>taxa</vt:lpstr>
      <vt:lpstr>tempo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2026-10-17T17:14:21Z</dcterms:created>
  <dcterms:modified xsi:type="dcterms:W3CDTF">2026-10-17T20:58:17Z</dcterms:modified>
</cp:coreProperties>
</file>